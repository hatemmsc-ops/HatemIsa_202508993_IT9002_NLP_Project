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KPIs &amp; Volume Projections" sheetId="1" state="visible" r:id="rId3"/>
    <sheet name="Fees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<sst xmlns="http://schemas.openxmlformats.org/spreadsheetml/2006/main" count="43" uniqueCount="36">
  <si>
    <t xml:space="preserve">Key Performance Indicators &amp; Volume Projections</t>
  </si>
  <si>
    <t xml:space="preserve">AJYAD CAPITAL</t>
  </si>
  <si>
    <t xml:space="preserve">KPI &amp; Performance Detail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</si>
  <si>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</si>
  <si>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</si>
  <si>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</si>
  <si>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</si>
  <si>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</si>
  <si>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</si>
  <si>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</si>
  <si>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</si>
  <si>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I. CLIENTS (CUMULATIVE)</t>
  </si>
  <si>
    <t xml:space="preserve">Achieved / Current</t>
  </si>
  <si>
    <t xml:space="preserve">Target / Projected</t>
  </si>
  <si>
    <t xml:space="preserve">Performance Gap (Achieved vs Target)</t>
  </si>
  <si>
    <t xml:space="preserve">II. NUMBER OF TRADES</t>
  </si>
  <si>
    <t xml:space="preserve">III. AVERAGE INVESTMENT PER CLIENT</t>
  </si>
  <si>
    <t xml:space="preserve">Actual / Current</t>
  </si>
  <si>
    <t xml:space="preserve">Performance Gap (Actual vs Target)</t>
  </si>
  <si>
    <t xml:space="preserve">IV. TOTAL DEPOSITS (CUMULATIVE)</t>
  </si>
  <si>
    <t xml:space="preserve">Revenue by Service</t>
  </si>
  <si>
    <t xml:space="preserve">Service-level revenue summary with trade-fee detail and live total revenue</t>
  </si>
  <si>
    <t xml:space="preserve">Service</t>
  </si>
  <si>
    <t xml:space="preserve">Revenue</t>
  </si>
  <si>
    <t xml:space="preserve">% of Total Revenue</t>
  </si>
  <si>
    <t xml:space="preserve">Withdrawals</t>
  </si>
  <si>
    <t xml:space="preserve">Instant Deposits (EP)</t>
  </si>
  <si>
    <t xml:space="preserve">Trades</t>
  </si>
  <si>
    <t xml:space="preserve">Total Revenue</t>
  </si>
  <si>
    <t xml:space="preserve">TRADE COMMISSION REVENUE DETAIL</t>
  </si>
  <si>
    <t xml:space="preserve">Account Ending</t>
  </si>
  <si>
    <t xml:space="preserve">Commission Revenue</t>
  </si>
  <si>
    <t xml:space="preserve">Commission Source</t>
  </si>
  <si>
    <t xml:space="preserve">Shariah trade commissions received from trades executed on the platform</t>
  </si>
  <si>
    <t xml:space="preserve">Non-Shariah trade maintenance fee received from trades executed on the platform</t>
  </si>
  <si>
    <t xml:space="preserve">Total Trade Commissions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</si>
</sst>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\+0;\-0;0"/>
    <numFmt numFmtId="167" formatCode="\$#,##0.00"/>
    <numFmt numFmtId="168" formatCode="\$#,##0"/>
    <numFmt numFmtId="169" formatCode="&quot;$+&quot;#,##0.00;&quot;-$&quot;#,##0.00;\$0.00"/>
    <numFmt numFmtId="170" formatCode="_(\$* #,##0.00_);_(\$* \(#,##0.00\);_(\$* \-??_);_(@_)"/>
    <numFmt numFmtId="171" formatCode="0.0%"/>
    <numFmt numFmtId="172" formatCode="@"/>
  </numFmts>
  <fonts count="1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2F275A"/>
      <name val="Aptos Display"/>
      <family val="0"/>
      <charset val="1"/>
    </font>
    <font>
      <b val="true"/>
      <sz val="15"/>
      <color rgb="FF2F275A"/>
      <name val="Aptos Display"/>
      <family val="0"/>
      <charset val="1"/>
    </font>
    <font>
      <b val="true"/>
      <sz val="11"/>
      <color rgb="FFFFFFFF"/>
      <name val="Aptos"/>
      <family val="0"/>
      <charset val="1"/>
    </font>
    <font>
      <b val="true"/>
      <sz val="10.5"/>
      <color rgb="FF333333"/>
      <name val="Aptos"/>
      <family val="0"/>
      <charset val="1"/>
    </font>
    <font>
      <sz val="10.5"/>
      <color theme="1"/>
      <name val="Aptos"/>
      <family val="0"/>
      <charset val="1"/>
    </font>
    <font>
      <b val="true"/>
      <sz val="10.5"/>
      <color theme="1"/>
      <name val="Aptos"/>
      <family val="0"/>
      <charset val="1"/>
    </font>
    <font>
      <b val="true"/>
      <sz val="18"/>
      <color rgb="FFFFFFFF"/>
      <name val="Aptos Display"/>
      <family val="0"/>
      <charset val="1"/>
    </font>
    <font>
      <i val="true"/>
      <sz val="10"/>
      <color rgb="FF666666"/>
      <name val="Aptos Narrow"/>
      <family val="2"/>
      <charset val="1"/>
    </font>
    <font>
      <b val="true"/>
      <sz val="10.5"/>
      <color rgb="FFFFFFFF"/>
      <name val="Aptos"/>
      <family val="0"/>
      <charset val="1"/>
    </font>
    <font>
      <b val="true"/>
      <sz val="11"/>
      <color rgb="FF333333"/>
      <name val="Aptos Narrow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22365F"/>
        <bgColor rgb="FF2F275A"/>
      </patternFill>
    </fill>
    <fill>
      <patternFill patternType="solid">
        <fgColor rgb="FFE7E6EA"/>
        <bgColor rgb="FFF0EDF6"/>
      </patternFill>
    </fill>
    <fill>
      <patternFill patternType="solid">
        <fgColor rgb="FFF7F7F9"/>
        <bgColor rgb="FFFFFFFF"/>
      </patternFill>
    </fill>
    <fill>
      <patternFill patternType="solid">
        <fgColor rgb="FF6B4FA1"/>
        <bgColor rgb="FF666666"/>
      </patternFill>
    </fill>
    <fill>
      <patternFill patternType="solid">
        <fgColor rgb="FFF0EDF6"/>
        <bgColor rgb="FFE7E6EA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>
        <color rgb="FF8991A3"/>
      </left>
      <right style="thin">
        <color rgb="FFD9DCE3"/>
      </right>
      <top style="medium">
        <color rgb="FF8991A3"/>
      </top>
      <bottom style="thin">
        <color rgb="FFD9DCE3"/>
      </bottom>
      <diagonal/>
    </border>
    <border diagonalUp="false" diagonalDown="false">
      <left style="thin">
        <color rgb="FFD9DCE3"/>
      </left>
      <right style="thin">
        <color rgb="FFD9DCE3"/>
      </right>
      <top style="medium">
        <color rgb="FF8991A3"/>
      </top>
      <bottom style="thin">
        <color rgb="FFD9DCE3"/>
      </bottom>
      <diagonal/>
    </border>
    <border diagonalUp="false" diagonalDown="false">
      <left style="thin">
        <color rgb="FFD9DCE3"/>
      </left>
      <right style="medium">
        <color rgb="FF8991A3"/>
      </right>
      <top style="medium">
        <color rgb="FF8991A3"/>
      </top>
      <bottom style="thin">
        <color rgb="FFD9DCE3"/>
      </bottom>
      <diagonal/>
    </border>
    <border diagonalUp="false" diagonalDown="false">
      <left style="medium">
        <color rgb="FF8991A3"/>
      </left>
      <right style="thin">
        <color rgb="FFD9DCE3"/>
      </right>
      <top style="thin">
        <color rgb="FFD9DCE3"/>
      </top>
      <bottom style="thin">
        <color rgb="FFD9DCE3"/>
      </bottom>
      <diagonal/>
    </border>
    <border diagonalUp="false" diagonalDown="false">
      <left style="thin">
        <color rgb="FFD9DCE3"/>
      </left>
      <right style="thin">
        <color rgb="FFD9DCE3"/>
      </right>
      <top style="thin">
        <color rgb="FFD9DCE3"/>
      </top>
      <bottom style="thin">
        <color rgb="FFD9DCE3"/>
      </bottom>
      <diagonal/>
    </border>
    <border diagonalUp="false" diagonalDown="false">
      <left style="thin">
        <color rgb="FFD9DCE3"/>
      </left>
      <right style="medium">
        <color rgb="FF8991A3"/>
      </right>
      <top style="thin">
        <color rgb="FFD9DCE3"/>
      </top>
      <bottom style="thin">
        <color rgb="FFD9DCE3"/>
      </bottom>
      <diagonal/>
    </border>
    <border diagonalUp="false" diagonalDown="false">
      <left style="medium">
        <color rgb="FF8991A3"/>
      </left>
      <right style="thin">
        <color rgb="FFD9DCE3"/>
      </right>
      <top style="thin">
        <color rgb="FFD9DCE3"/>
      </top>
      <bottom style="medium">
        <color rgb="FF8991A3"/>
      </bottom>
      <diagonal/>
    </border>
    <border diagonalUp="false" diagonalDown="false">
      <left style="thin">
        <color rgb="FFD9DCE3"/>
      </left>
      <right style="thin">
        <color rgb="FFD9DCE3"/>
      </right>
      <top style="thin">
        <color rgb="FFD9DCE3"/>
      </top>
      <bottom style="medium">
        <color rgb="FF8991A3"/>
      </bottom>
      <diagonal/>
    </border>
    <border diagonalUp="false" diagonalDown="false">
      <left style="thin">
        <color rgb="FFD9DCE3"/>
      </left>
      <right style="medium">
        <color rgb="FF8991A3"/>
      </right>
      <top style="thin">
        <color rgb="FFD9DCE3"/>
      </top>
      <bottom style="medium">
        <color rgb="FF8991A3"/>
      </bottom>
      <diagonal/>
    </border>
    <border diagonalUp="false" diagonalDown="false">
      <left style="medium">
        <color rgb="FF8991A3"/>
      </left>
      <right style="thin">
        <color rgb="FFD9DCE3"/>
      </right>
      <top style="thin">
        <color rgb="FFD9DCE3"/>
      </top>
      <bottom/>
      <diagonal/>
    </border>
    <border diagonalUp="false" diagonalDown="false">
      <left style="thin">
        <color rgb="FFD9DCE3"/>
      </left>
      <right style="thin">
        <color rgb="FFD9DCE3"/>
      </right>
      <top style="thin">
        <color rgb="FFD9DCE3"/>
      </top>
      <bottom/>
      <diagonal/>
    </border>
    <border diagonalUp="false" diagonalDown="false">
      <left style="thin">
        <color rgb="FFD9DCE3"/>
      </left>
      <right style="medium">
        <color rgb="FF8991A3"/>
      </right>
      <top style="thin">
        <color rgb="FFD9DCE3"/>
      </top>
      <bottom/>
      <diagonal/>
    </border>
    <border diagonalUp="false" diagonalDown="false">
      <left style="medium">
        <color rgb="FF8991A3"/>
      </left>
      <right style="thin">
        <color rgb="FFD9DCE3"/>
      </right>
      <top style="double">
        <color rgb="FF6B4FA1"/>
      </top>
      <bottom style="medium">
        <color rgb="FF8991A3"/>
      </bottom>
      <diagonal/>
    </border>
    <border diagonalUp="false" diagonalDown="false">
      <left style="thin">
        <color rgb="FFD9DCE3"/>
      </left>
      <right style="thin">
        <color rgb="FFD9DCE3"/>
      </right>
      <top style="double">
        <color rgb="FF6B4FA1"/>
      </top>
      <bottom style="medium">
        <color rgb="FF8991A3"/>
      </bottom>
      <diagonal/>
    </border>
    <border diagonalUp="false" diagonalDown="false">
      <left style="thin">
        <color rgb="FFD9DCE3"/>
      </left>
      <right style="medium">
        <color rgb="FF8991A3"/>
      </right>
      <top style="double">
        <color rgb="FF6B4FA1"/>
      </top>
      <bottom style="medium">
        <color rgb="FF8991A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9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8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8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8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8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6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9" fillId="6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9" fillId="6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2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8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72" fontId="8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9" fillId="6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6B4FA1"/>
      <rgbColor rgb="FFF7F7F9"/>
      <rgbColor rgb="FFF0EDF6"/>
      <rgbColor rgb="FF660066"/>
      <rgbColor rgb="FFFF8080"/>
      <rgbColor rgb="FF0066CC"/>
      <rgbColor rgb="FFD9DC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8991A3"/>
      <rgbColor rgb="FF22365F"/>
      <rgbColor rgb="FF339966"/>
      <rgbColor rgb="FF003300"/>
      <rgbColor rgb="FF333300"/>
      <rgbColor rgb="FF993300"/>
      <rgbColor rgb="FF993366"/>
      <rgbColor rgb="FF2F275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4FA1"/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8.75390625" defaultRowHeight="15" customHeight="false" zeroHeight="false" outlineLevelRow="0" outlineLevelCol="0"/>
  <cols>
    <col collapsed="false" customWidth="true" hidden="false" outlineLevel="0" max="1" min="1" style="1" width="46.71"/>
    <col collapsed="false" customWidth="true" hidden="false" outlineLevel="0" max="5" min="2" style="1" width="17.57"/>
    <col collapsed="false" customWidth="true" hidden="false" outlineLevel="0" max="6" min="6" style="1" width="24.71"/>
    <col collapsed="false" customWidth="true" hidden="false" outlineLevel="0" max="9" min="7" style="1" width="17.57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3" t="s">
        <v>1</v>
      </c>
      <c r="H1" s="3"/>
      <c r="I1" s="3"/>
    </row>
    <row r="2" customFormat="false" ht="27.75" hidden="false" customHeight="true" outlineLevel="0" collapsed="false">
      <c r="A2" s="2"/>
      <c r="B2" s="2"/>
      <c r="C2" s="2"/>
      <c r="D2" s="2"/>
      <c r="E2" s="2"/>
      <c r="F2" s="2"/>
      <c r="G2" s="3"/>
      <c r="H2" s="3"/>
      <c r="I2" s="3"/>
    </row>
    <row r="3" customFormat="false" ht="30" hidden="false" customHeight="true" outlineLevel="0" collapsed="false">
      <c r="A3" s="4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6" t="s">
        <v>10</v>
      </c>
    </row>
    <row r="4" customFormat="false" ht="15" hidden="false" customHeight="true" outlineLevel="0" collapsed="false">
      <c r="A4" s="7" t="s">
        <v>11</v>
      </c>
      <c r="B4" s="7"/>
      <c r="C4" s="7"/>
      <c r="D4" s="7"/>
      <c r="E4" s="7"/>
      <c r="F4" s="7"/>
      <c r="G4" s="7"/>
      <c r="H4" s="7"/>
      <c r="I4" s="7"/>
    </row>
    <row r="5" customFormat="false" ht="15" hidden="false" customHeight="true" outlineLevel="0" collapsed="false">
      <c r="A5" s="8" t="s">
        <v>12</v>
      </c>
      <c r="B5" s="9" t="n">
        <v>11</v>
      </c>
      <c r="C5" s="9" t="n">
        <v>24</v>
      </c>
      <c r="D5" s="9" t="n">
        <v>33</v>
      </c>
      <c r="E5" s="9" t="n">
        <v>47</v>
      </c>
      <c r="F5" s="9" t="n">
        <v>54</v>
      </c>
      <c r="G5" s="9"/>
      <c r="H5" s="9"/>
      <c r="I5" s="10"/>
    </row>
    <row r="6" customFormat="false" ht="15" hidden="false" customHeight="true" outlineLevel="0" collapsed="false">
      <c r="A6" s="8" t="s">
        <v>13</v>
      </c>
      <c r="B6" s="9" t="n">
        <v>20</v>
      </c>
      <c r="C6" s="9" t="n">
        <v>24</v>
      </c>
      <c r="D6" s="9" t="n">
        <v>28</v>
      </c>
      <c r="E6" s="9" t="n">
        <v>33</v>
      </c>
      <c r="F6" s="9" t="n">
        <v>39</v>
      </c>
      <c r="G6" s="9" t="n">
        <v>46</v>
      </c>
      <c r="H6" s="9" t="n">
        <v>54</v>
      </c>
      <c r="I6" s="10" t="n">
        <v>64</v>
      </c>
    </row>
    <row r="7" customFormat="false" ht="15" hidden="false" customHeight="true" outlineLevel="0" collapsed="false">
      <c r="A7" s="11" t="s">
        <v>14</v>
      </c>
      <c r="B7" s="12" t="n">
        <f aca="false">B5-B6</f>
        <v>-9</v>
      </c>
      <c r="C7" s="12" t="n">
        <f aca="false">C5-C6</f>
        <v>0</v>
      </c>
      <c r="D7" s="12" t="n">
        <f aca="false">D5-D6</f>
        <v>5</v>
      </c>
      <c r="E7" s="12" t="n">
        <f aca="false">E5-E6</f>
        <v>14</v>
      </c>
      <c r="F7" s="12" t="n">
        <f aca="false">F5-F6</f>
        <v>15</v>
      </c>
      <c r="G7" s="12" t="str">
        <f aca="false">IF(OR(G5="",G6=""),"",G5-G6)</f>
        <v/>
      </c>
      <c r="H7" s="12" t="str">
        <f aca="false">IF(OR(H5="",H6=""),"",H5-H6)</f>
        <v/>
      </c>
      <c r="I7" s="13" t="str">
        <f aca="false">IF(OR(I5="",I6=""),"",I5-I6)</f>
        <v/>
      </c>
    </row>
    <row r="8" customFormat="false" ht="15" hidden="false" customHeight="true" outlineLevel="0" collapsed="false">
      <c r="A8" s="14" t="s">
        <v>15</v>
      </c>
      <c r="B8" s="14"/>
      <c r="C8" s="14"/>
      <c r="D8" s="14"/>
      <c r="E8" s="14"/>
      <c r="F8" s="14"/>
      <c r="G8" s="14"/>
      <c r="H8" s="14"/>
      <c r="I8" s="14"/>
    </row>
    <row r="9" customFormat="false" ht="15" hidden="false" customHeight="true" outlineLevel="0" collapsed="false">
      <c r="A9" s="8" t="s">
        <v>12</v>
      </c>
      <c r="B9" s="9" t="n">
        <v>8</v>
      </c>
      <c r="C9" s="9" t="n">
        <v>17</v>
      </c>
      <c r="D9" s="9" t="n">
        <v>5</v>
      </c>
      <c r="E9" s="9" t="n">
        <v>16</v>
      </c>
      <c r="F9" s="9" t="n">
        <v>3</v>
      </c>
      <c r="G9" s="9"/>
      <c r="H9" s="9"/>
      <c r="I9" s="10"/>
    </row>
    <row r="10" customFormat="false" ht="15" hidden="false" customHeight="true" outlineLevel="0" collapsed="false">
      <c r="A10" s="8" t="s">
        <v>13</v>
      </c>
      <c r="B10" s="9" t="n">
        <v>20</v>
      </c>
      <c r="C10" s="9" t="n">
        <v>24</v>
      </c>
      <c r="D10" s="9" t="n">
        <v>28</v>
      </c>
      <c r="E10" s="9" t="n">
        <v>33</v>
      </c>
      <c r="F10" s="9" t="n">
        <v>39</v>
      </c>
      <c r="G10" s="9" t="n">
        <v>46</v>
      </c>
      <c r="H10" s="9" t="n">
        <v>54</v>
      </c>
      <c r="I10" s="10" t="n">
        <v>64</v>
      </c>
    </row>
    <row r="11" customFormat="false" ht="15" hidden="false" customHeight="true" outlineLevel="0" collapsed="false">
      <c r="A11" s="11" t="s">
        <v>14</v>
      </c>
      <c r="B11" s="12" t="n">
        <f aca="false">IF(ISNUMBER(B9),B9-B10,"-")</f>
        <v>-12</v>
      </c>
      <c r="C11" s="12" t="n">
        <f aca="false">IF(ISNUMBER(C9),C9-C10,"-")</f>
        <v>-7</v>
      </c>
      <c r="D11" s="12" t="n">
        <f aca="false">IF(ISNUMBER(D9),D9-D10,"-")</f>
        <v>-23</v>
      </c>
      <c r="E11" s="12" t="n">
        <f aca="false">IF(ISNUMBER(E9),E9-E10,"-")</f>
        <v>-17</v>
      </c>
      <c r="F11" s="12" t="n">
        <f aca="false">IF(ISNUMBER(F9),F9-F10,"-")</f>
        <v>-36</v>
      </c>
      <c r="G11" s="12" t="str">
        <f aca="false">IF(OR(G9="",G10=""),"",G9-G10)</f>
        <v/>
      </c>
      <c r="H11" s="12" t="str">
        <f aca="false">IF(OR(H9="",H10=""),"",H9-H10)</f>
        <v/>
      </c>
      <c r="I11" s="13" t="str">
        <f aca="false">IF(OR(I9="",I10=""),"",I9-I10)</f>
        <v/>
      </c>
    </row>
    <row r="12" customFormat="false" ht="15" hidden="false" customHeight="true" outlineLevel="0" collapsed="false">
      <c r="A12" s="14" t="s">
        <v>16</v>
      </c>
      <c r="B12" s="14"/>
      <c r="C12" s="14"/>
      <c r="D12" s="14"/>
      <c r="E12" s="14"/>
      <c r="F12" s="14"/>
      <c r="G12" s="14"/>
      <c r="H12" s="14"/>
      <c r="I12" s="14"/>
    </row>
    <row r="13" customFormat="false" ht="15" hidden="false" customHeight="true" outlineLevel="0" collapsed="false">
      <c r="A13" s="8" t="s">
        <v>17</v>
      </c>
      <c r="B13" s="15" t="n">
        <f aca="false">IF(OR(B17="",B5="",B5=0),"",B17/B5)</f>
        <v>364.817272727273</v>
      </c>
      <c r="C13" s="15" t="n">
        <f aca="false">IF(OR(C17="",C5="",C5=0),"",C17/C5)</f>
        <v>329.464583333333</v>
      </c>
      <c r="D13" s="15" t="n">
        <f aca="false">IF(OR(D17="",D5="",D5=0),"",D17/D5)</f>
        <v>261.421515151515</v>
      </c>
      <c r="E13" s="15" t="n">
        <f aca="false">IF(OR(E17="",E5="",E5=0),"",E17/E5)</f>
        <v>212.842553191489</v>
      </c>
      <c r="F13" s="15" t="n">
        <f aca="false">IF(OR(F17="",F5="",F5=0),"",F17/F5)</f>
        <v>207.331111111111</v>
      </c>
      <c r="G13" s="15" t="str">
        <f aca="false">IF(OR(G17="",G5="",G5=0),"",G17/G5)</f>
        <v/>
      </c>
      <c r="H13" s="15" t="str">
        <f aca="false">IF(OR(H17="",H5="",H5=0),"",H17/H5)</f>
        <v/>
      </c>
      <c r="I13" s="16" t="str">
        <f aca="false">IF(OR(I17="",I5="",I5=0),"",I17/I5)</f>
        <v/>
      </c>
    </row>
    <row r="14" customFormat="false" ht="15" hidden="false" customHeight="true" outlineLevel="0" collapsed="false">
      <c r="A14" s="8" t="s">
        <v>13</v>
      </c>
      <c r="B14" s="17" t="n">
        <v>5000</v>
      </c>
      <c r="C14" s="17" t="n">
        <v>5250</v>
      </c>
      <c r="D14" s="17" t="n">
        <v>5513</v>
      </c>
      <c r="E14" s="17" t="n">
        <v>5788</v>
      </c>
      <c r="F14" s="17" t="n">
        <v>6078</v>
      </c>
      <c r="G14" s="17" t="n">
        <v>6381</v>
      </c>
      <c r="H14" s="17" t="n">
        <v>6700</v>
      </c>
      <c r="I14" s="18" t="n">
        <v>7036</v>
      </c>
    </row>
    <row r="15" customFormat="false" ht="15" hidden="false" customHeight="true" outlineLevel="0" collapsed="false">
      <c r="A15" s="11" t="s">
        <v>18</v>
      </c>
      <c r="B15" s="19" t="n">
        <f aca="false">B13-B14</f>
        <v>-4635.18272727273</v>
      </c>
      <c r="C15" s="19" t="n">
        <f aca="false">C13-C14</f>
        <v>-4920.53541666667</v>
      </c>
      <c r="D15" s="19" t="n">
        <f aca="false">D13-D14</f>
        <v>-5251.57848484849</v>
      </c>
      <c r="E15" s="19" t="n">
        <f aca="false">E13-E14</f>
        <v>-5575.15744680851</v>
      </c>
      <c r="F15" s="19" t="n">
        <f aca="false">F13-F14</f>
        <v>-5870.66888888889</v>
      </c>
      <c r="G15" s="19" t="str">
        <f aca="false">IF(OR(G13="",G14=""),"",G13-G14)</f>
        <v/>
      </c>
      <c r="H15" s="19" t="str">
        <f aca="false">IF(OR(H13="",H14=""),"",H13-H14)</f>
        <v/>
      </c>
      <c r="I15" s="20" t="str">
        <f aca="false">IF(OR(I13="",I14=""),"",I13-I14)</f>
        <v/>
      </c>
    </row>
    <row r="16" customFormat="false" ht="15" hidden="false" customHeight="true" outlineLevel="0" collapsed="false">
      <c r="A16" s="14" t="s">
        <v>19</v>
      </c>
      <c r="B16" s="14"/>
      <c r="C16" s="14"/>
      <c r="D16" s="14"/>
      <c r="E16" s="14"/>
      <c r="F16" s="14"/>
      <c r="G16" s="14"/>
      <c r="H16" s="14"/>
      <c r="I16" s="14"/>
    </row>
    <row r="17" customFormat="false" ht="15" hidden="false" customHeight="true" outlineLevel="0" collapsed="false">
      <c r="A17" s="8" t="s">
        <v>12</v>
      </c>
      <c r="B17" s="15" t="n">
        <v>4012.99</v>
      </c>
      <c r="C17" s="15" t="n">
        <v>7907.15</v>
      </c>
      <c r="D17" s="15" t="n">
        <v>8626.91</v>
      </c>
      <c r="E17" s="15" t="n">
        <v>10003.6</v>
      </c>
      <c r="F17" s="15" t="n">
        <v>11195.88</v>
      </c>
      <c r="G17" s="15"/>
      <c r="H17" s="15"/>
      <c r="I17" s="16"/>
    </row>
    <row r="18" customFormat="false" ht="15" hidden="false" customHeight="true" outlineLevel="0" collapsed="false">
      <c r="A18" s="8" t="s">
        <v>13</v>
      </c>
      <c r="B18" s="17" t="n">
        <v>100000</v>
      </c>
      <c r="C18" s="17" t="n">
        <v>123900</v>
      </c>
      <c r="D18" s="17" t="n">
        <v>153512.1</v>
      </c>
      <c r="E18" s="17" t="n">
        <v>190201.4919</v>
      </c>
      <c r="F18" s="17" t="n">
        <v>235659.6484641</v>
      </c>
      <c r="G18" s="17" t="n">
        <v>291982.30444702</v>
      </c>
      <c r="H18" s="17" t="n">
        <v>361766.075209858</v>
      </c>
      <c r="I18" s="18" t="n">
        <v>448228.167185014</v>
      </c>
    </row>
    <row r="19" customFormat="false" ht="15.75" hidden="false" customHeight="true" outlineLevel="0" collapsed="false">
      <c r="A19" s="21" t="s">
        <v>14</v>
      </c>
      <c r="B19" s="22" t="n">
        <f aca="false">B17-B18</f>
        <v>-95987.01</v>
      </c>
      <c r="C19" s="22" t="n">
        <f aca="false">C17-C18</f>
        <v>-115992.85</v>
      </c>
      <c r="D19" s="22" t="n">
        <f aca="false">D17-D18</f>
        <v>-144885.19</v>
      </c>
      <c r="E19" s="22" t="n">
        <f aca="false">E17-E18</f>
        <v>-180197.8919</v>
      </c>
      <c r="F19" s="22" t="n">
        <f aca="false">F17-F18</f>
        <v>-224463.7684641</v>
      </c>
      <c r="G19" s="22" t="str">
        <f aca="false">IF(OR(G17="",G18=""),"",G17-G18)</f>
        <v/>
      </c>
      <c r="H19" s="22" t="str">
        <f aca="false">IF(OR(H17="",H18=""),"",H17-H18)</f>
        <v/>
      </c>
      <c r="I19" s="23" t="str">
        <f aca="false">IF(OR(I17="",I18=""),"",I17-I18)</f>
        <v/>
      </c>
    </row>
  </sheetData>
  <mergeCells count="6">
    <mergeCell ref="A1:F2"/>
    <mergeCell ref="G1:I2"/>
    <mergeCell ref="A4:I4"/>
    <mergeCell ref="A8:I8"/>
    <mergeCell ref="A12:I12"/>
    <mergeCell ref="A16:I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365F"/>
    <pageSetUpPr fitToPage="false"/>
  </sheetPr>
  <dimension ref="A1:C14"/>
  <sheetViews>
    <sheetView showFormulas="false" showGridLines="false" showRowColHeaders="true" showZeros="true" rightToLeft="false" tabSelected="true" showOutlineSymbols="true" defaultGridColor="true" view="normal" topLeftCell="A1" colorId="64" zoomScale="115" zoomScaleNormal="115" zoomScalePageLayoutView="100" workbookViewId="0">
      <selection pane="topLeft" activeCell="I8" activeCellId="0" sqref="I8"/>
    </sheetView>
  </sheetViews>
  <sheetFormatPr defaultColWidth="8.75390625" defaultRowHeight="15" customHeight="false" zeroHeight="false" outlineLevelRow="0" outlineLevelCol="0"/>
  <cols>
    <col collapsed="false" customWidth="true" hidden="false" outlineLevel="0" max="1" min="1" style="1" width="38.14"/>
    <col collapsed="false" customWidth="true" hidden="false" outlineLevel="0" max="2" min="2" style="24" width="23.86"/>
    <col collapsed="false" customWidth="true" hidden="false" outlineLevel="0" max="3" min="3" style="1" width="38.14"/>
  </cols>
  <sheetData>
    <row r="1" customFormat="false" ht="24" hidden="false" customHeight="true" outlineLevel="0" collapsed="false">
      <c r="A1" s="25" t="s">
        <v>20</v>
      </c>
      <c r="B1" s="25"/>
      <c r="C1" s="25"/>
    </row>
    <row r="2" customFormat="false" ht="15" hidden="false" customHeight="true" outlineLevel="0" collapsed="false">
      <c r="A2" s="26" t="s">
        <v>21</v>
      </c>
      <c r="B2" s="26"/>
      <c r="C2" s="26"/>
    </row>
    <row r="3" customFormat="false" ht="15.75" hidden="false" customHeight="true" outlineLevel="0" collapsed="false"/>
    <row r="4" customFormat="false" ht="15" hidden="false" customHeight="true" outlineLevel="0" collapsed="false">
      <c r="A4" s="27" t="s">
        <v>22</v>
      </c>
      <c r="B4" s="28" t="s">
        <v>23</v>
      </c>
      <c r="C4" s="29" t="s">
        <v>24</v>
      </c>
    </row>
    <row r="5" customFormat="false" ht="15" hidden="false" customHeight="true" outlineLevel="0" collapsed="false">
      <c r="A5" s="30" t="s">
        <v>25</v>
      </c>
      <c r="B5" s="31" t="n">
        <v>60</v>
      </c>
      <c r="C5" s="32" t="n">
        <f aca="false">B5/$B$8</f>
        <v>0.558035714285714</v>
      </c>
    </row>
    <row r="6" customFormat="false" ht="15" hidden="false" customHeight="true" outlineLevel="0" collapsed="false">
      <c r="A6" s="30" t="s">
        <v>26</v>
      </c>
      <c r="B6" s="31" t="n">
        <v>1.65</v>
      </c>
      <c r="C6" s="32" t="n">
        <f aca="false">B6/$B$8</f>
        <v>0.0153459821428571</v>
      </c>
    </row>
    <row r="7" customFormat="false" ht="15.75" hidden="false" customHeight="true" outlineLevel="0" collapsed="false">
      <c r="A7" s="33" t="s">
        <v>27</v>
      </c>
      <c r="B7" s="34" t="n">
        <f aca="false">SUM(B12:B13)</f>
        <v>45.87</v>
      </c>
      <c r="C7" s="35" t="n">
        <f aca="false">B7/$B$8</f>
        <v>0.426618303571429</v>
      </c>
    </row>
    <row r="8" customFormat="false" ht="16.5" hidden="false" customHeight="true" outlineLevel="0" collapsed="false">
      <c r="A8" s="36" t="s">
        <v>28</v>
      </c>
      <c r="B8" s="37" t="n">
        <f aca="false">SUM(B5:B7)</f>
        <v>107.52</v>
      </c>
      <c r="C8" s="38" t="n">
        <f aca="false">SUM(C5:C7)</f>
        <v>1</v>
      </c>
    </row>
    <row r="9" customFormat="false" ht="15" hidden="false" customHeight="true" outlineLevel="0" collapsed="false">
      <c r="A9" s="39"/>
      <c r="B9" s="40"/>
      <c r="C9" s="41"/>
    </row>
    <row r="10" customFormat="false" ht="15.75" hidden="false" customHeight="true" outlineLevel="0" collapsed="false">
      <c r="A10" s="42" t="s">
        <v>29</v>
      </c>
      <c r="B10" s="42"/>
      <c r="C10" s="42"/>
    </row>
    <row r="11" customFormat="false" ht="15" hidden="false" customHeight="true" outlineLevel="0" collapsed="false">
      <c r="A11" s="27" t="s">
        <v>30</v>
      </c>
      <c r="B11" s="43" t="s">
        <v>31</v>
      </c>
      <c r="C11" s="44" t="s">
        <v>32</v>
      </c>
    </row>
    <row r="12" customFormat="false" ht="28.5" hidden="false" customHeight="true" outlineLevel="0" collapsed="false">
      <c r="A12" s="45" t="n">
        <v>0.002</v>
      </c>
      <c r="B12" s="31" t="n">
        <v>40.87</v>
      </c>
      <c r="C12" s="46" t="s">
        <v>33</v>
      </c>
    </row>
    <row r="13" customFormat="false" ht="43.5" hidden="false" customHeight="true" outlineLevel="0" collapsed="false">
      <c r="A13" s="47" t="n">
        <v>0.003</v>
      </c>
      <c r="B13" s="34" t="n">
        <v>5</v>
      </c>
      <c r="C13" s="48" t="s">
        <v>34</v>
      </c>
    </row>
    <row r="14" customFormat="false" ht="16.5" hidden="false" customHeight="true" outlineLevel="0" collapsed="false">
      <c r="A14" s="36" t="s">
        <v>35</v>
      </c>
      <c r="B14" s="37" t="n">
        <f aca="false">SUM(B12:B13)</f>
        <v>45.87</v>
      </c>
      <c r="C14" s="49"/>
    </row>
  </sheetData>
  <mergeCells count="3">
    <mergeCell ref="A1:C1"/>
    <mergeCell ref="A2:C2"/>
    <mergeCell ref="A10:C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2026-09-06T07:27:19Z</dcterms:created>
  <dc:creator>Malik Hamdan</dc:creator>
  <dc:description/>
  <dc:language>en-BH</dc:language>
  <cp:lastModifiedBy>Malik Hamdan</cp:lastModifiedBy>
  <dcterms:modified xsi:type="dcterms:W3CDTF">2026-09-17T07:04:41Z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